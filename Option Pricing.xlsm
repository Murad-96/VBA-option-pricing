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filterPrivacy="1" codeName="ThisWorkbook" defaultThemeVersion="124226"/>
  <xr:revisionPtr revIDLastSave="0" documentId="13_ncr:1_{F8132F58-C200-4AB9-8FBF-9CEB51FFA8B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Homework" sheetId="3" r:id="rId1"/>
    <sheet name="BAPM" sheetId="1" r:id="rId2"/>
    <sheet name="B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" l="1"/>
  <c r="B8" i="2"/>
  <c r="B1" i="2"/>
  <c r="B1" i="1"/>
</calcChain>
</file>

<file path=xl/sharedStrings.xml><?xml version="1.0" encoding="utf-8"?>
<sst xmlns="http://schemas.openxmlformats.org/spreadsheetml/2006/main" count="29" uniqueCount="13">
  <si>
    <t>S0</t>
  </si>
  <si>
    <t>Inputs:</t>
  </si>
  <si>
    <t>r</t>
  </si>
  <si>
    <t>σ</t>
  </si>
  <si>
    <t>T</t>
  </si>
  <si>
    <t>N</t>
  </si>
  <si>
    <t>K</t>
  </si>
  <si>
    <t>Type</t>
  </si>
  <si>
    <t>Call</t>
  </si>
  <si>
    <t>Price</t>
  </si>
  <si>
    <t>Price:</t>
  </si>
  <si>
    <t>Price BS</t>
  </si>
  <si>
    <t>Price BAPM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</si>
</sst>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0070C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1" xfId="0" applyFont="1" applyBorder="1"/>
    <xf numFmtId="0" fontId="2" fillId="0" borderId="1" xfId="0" applyFont="1" applyFill="1" applyBorder="1"/>
    <xf numFmtId="0" fontId="3" fillId="0" borderId="0" xfId="0" applyFont="1"/>
    <xf numFmtId="0" fontId="4" fillId="0" borderId="1" xfId="0" applyFont="1" applyFill="1" applyBorder="1"/>
    <xf numFmtId="0" fontId="1" fillId="2" borderId="1" xfId="0" applyFont="1" applyFill="1" applyBorder="1"/>
    <xf numFmtId="0" fontId="0" fillId="0" borderId="0" xfId="0" applyFont="1" applyBorder="1" applyAlignment="1">
      <alignment horizontal="left"/>
    </xf>
    <xf numFmtId="2" fontId="0" fillId="0" borderId="1" xfId="0" applyNumberFormat="1" applyBorder="1"/>
    <xf numFmtId="0" fontId="3" fillId="0" borderId="0" xfId="0" applyFont="1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9</xdr:row>
          <xdr:rowOff>0</xdr:rowOff>
        </xdr:from>
        <xdr:to>
          <xdr:col>8</xdr:col>
          <xdr:colOff>30480</xdr:colOff>
          <xdr:row>12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Give Price!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15</xdr:row>
          <xdr:rowOff>0</xdr:rowOff>
        </xdr:from>
        <xdr:to>
          <xdr:col>7</xdr:col>
          <xdr:colOff>601980</xdr:colOff>
          <xdr:row>18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E12"/>
  <sheetViews>
    <sheetView showGridLines="0" tabSelected="1" zoomScaleNormal="100" workbookViewId="0">
      <selection activeCell="C13" sqref="C13"/>
    </sheetView>
  </sheetViews>
  <sheetFormatPr defaultRowHeight="14.4" x14ac:dyDescent="0.3"/>
  <cols>
    <col min="1" max="1" width="12.44140625" customWidth="1"/>
    <col min="4" max="4" width="10.6640625" customWidth="1"/>
    <col min="5" max="5" width="10.33203125" bestFit="1" customWidth="1"/>
  </cols>
  <sheetData>
    <row r="6" spans="1:5" x14ac:dyDescent="0.3">
      <c r="A6" s="7" t="s">
        <v>1</v>
      </c>
      <c r="D6" s="7" t="s">
        <v>11</v>
      </c>
      <c r="E6" s="7" t="s">
        <v>12</v>
      </c>
    </row>
    <row r="7" spans="1:5" x14ac:dyDescent="0.3">
      <c r="A7" s="2" t="s">
        <v>2</v>
      </c>
      <c r="B7" s="2">
        <v>0.02</v>
      </c>
      <c r="D7" s="9">
        <v>5.2315528668201061</v>
      </c>
      <c r="E7" s="9">
        <v>5.2245503914536107</v>
      </c>
    </row>
    <row r="8" spans="1:5" x14ac:dyDescent="0.3">
      <c r="A8" s="3" t="s">
        <v>3</v>
      </c>
      <c r="B8" s="2">
        <v>0.1</v>
      </c>
    </row>
    <row r="9" spans="1:5" x14ac:dyDescent="0.3">
      <c r="A9" s="4" t="s">
        <v>4</v>
      </c>
      <c r="B9" s="2">
        <v>2</v>
      </c>
    </row>
    <row r="10" spans="1:5" x14ac:dyDescent="0.3">
      <c r="A10" s="4" t="s">
        <v>0</v>
      </c>
      <c r="B10" s="2">
        <v>100</v>
      </c>
    </row>
    <row r="11" spans="1:5" x14ac:dyDescent="0.3">
      <c r="A11" s="4" t="s">
        <v>6</v>
      </c>
      <c r="B11" s="2">
        <v>105</v>
      </c>
    </row>
    <row r="12" spans="1:5" x14ac:dyDescent="0.3">
      <c r="A12" s="4" t="s">
        <v>7</v>
      </c>
      <c r="B12" s="2" t="s">
        <v>8</v>
      </c>
    </row>
  </sheetData>
  <conditionalFormatting sqref="A12 A7:B11">
    <cfRule type="duplicateValues" dxfId="3" priority="6"/>
  </conditionalFormatting>
  <dataValidations count="1">
    <dataValidation type="list" allowBlank="1" showInputMessage="1" showErrorMessage="1" sqref="B12" xr:uid="{FFFB4235-9C96-4A35-9988-7E9ABE884923}">
      <formula1>"Call, Put"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arePricingMethods">
                <anchor moveWithCells="1" sizeWithCells="1">
                  <from>
                    <xdr:col>5</xdr:col>
                    <xdr:colOff>99060</xdr:colOff>
                    <xdr:row>9</xdr:row>
                    <xdr:rowOff>0</xdr:rowOff>
                  </from>
                  <to>
                    <xdr:col>8</xdr:col>
                    <xdr:colOff>30480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Cells">
                <anchor moveWithCells="1" sizeWithCells="1">
                  <from>
                    <xdr:col>5</xdr:col>
                    <xdr:colOff>152400</xdr:colOff>
                    <xdr:row>15</xdr:row>
                    <xdr:rowOff>0</xdr:rowOff>
                  </from>
                  <to>
                    <xdr:col>7</xdr:col>
                    <xdr:colOff>601980</xdr:colOff>
                    <xdr:row>18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"/>
  <sheetViews>
    <sheetView showGridLines="0" workbookViewId="0">
      <selection activeCell="B28" sqref="B28"/>
    </sheetView>
  </sheetViews>
  <sheetFormatPr defaultRowHeight="14.4" x14ac:dyDescent="0.3"/>
  <sheetData>
    <row r="1" spans="1:2" x14ac:dyDescent="0.3">
      <c r="A1" s="8" t="s">
        <v>1</v>
      </c>
      <c r="B1" s="5" t="str">
        <f>BAPM_help()</f>
        <v>S As Double, q As Double, r As Double, sigma As Double, T As Double, N As Double, K As Double</v>
      </c>
    </row>
    <row r="2" spans="1:2" x14ac:dyDescent="0.3">
      <c r="A2" s="2" t="s">
        <v>2</v>
      </c>
      <c r="B2" s="2">
        <v>0.03</v>
      </c>
    </row>
    <row r="3" spans="1:2" x14ac:dyDescent="0.3">
      <c r="A3" s="3" t="s">
        <v>3</v>
      </c>
      <c r="B3" s="2">
        <v>0.1</v>
      </c>
    </row>
    <row r="4" spans="1:2" x14ac:dyDescent="0.3">
      <c r="A4" s="4" t="s">
        <v>4</v>
      </c>
      <c r="B4" s="2">
        <v>2</v>
      </c>
    </row>
    <row r="5" spans="1:2" x14ac:dyDescent="0.3">
      <c r="A5" s="4" t="s">
        <v>5</v>
      </c>
      <c r="B5" s="2">
        <v>4</v>
      </c>
    </row>
    <row r="6" spans="1:2" x14ac:dyDescent="0.3">
      <c r="A6" s="4" t="s">
        <v>0</v>
      </c>
      <c r="B6" s="2">
        <v>100</v>
      </c>
    </row>
    <row r="7" spans="1:2" x14ac:dyDescent="0.3">
      <c r="A7" s="4" t="s">
        <v>6</v>
      </c>
      <c r="B7" s="2">
        <v>105</v>
      </c>
    </row>
    <row r="8" spans="1:2" x14ac:dyDescent="0.3">
      <c r="A8" s="4" t="s">
        <v>7</v>
      </c>
      <c r="B8" s="2" t="s">
        <v>8</v>
      </c>
    </row>
    <row r="9" spans="1:2" ht="13.8" customHeight="1" x14ac:dyDescent="0.3">
      <c r="A9" s="6" t="s">
        <v>10</v>
      </c>
      <c r="B9" s="2">
        <f>BAPM(B6,0,B2,B3,B4,B5,B7,B8)</f>
        <v>6.3657504511679219</v>
      </c>
    </row>
  </sheetData>
  <conditionalFormatting sqref="A8 A1:B7">
    <cfRule type="duplicateValues" dxfId="2" priority="1"/>
  </conditionalFormatting>
  <dataValidations count="1">
    <dataValidation type="list" allowBlank="1" showInputMessage="1" showErrorMessage="1" sqref="B8" xr:uid="{51C8144B-4711-4CE8-95B7-F8CA6FA1BA3F}">
      <formula1>"Call, Put"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"/>
  <sheetViews>
    <sheetView showGridLines="0" workbookViewId="0">
      <selection activeCell="B29" sqref="B29"/>
    </sheetView>
  </sheetViews>
  <sheetFormatPr defaultRowHeight="14.4" x14ac:dyDescent="0.3"/>
  <cols>
    <col min="1" max="16384" width="8.88671875" style="1"/>
  </cols>
  <sheetData>
    <row r="1" spans="1:2" x14ac:dyDescent="0.3">
      <c r="A1" s="8" t="s">
        <v>1</v>
      </c>
      <c r="B1" s="10" t="str">
        <f>BS_help()</f>
        <v>S As Double, q As Double, r As Double, Sigma As Double, T As Double, K As Double, Flavor As String</v>
      </c>
    </row>
    <row r="2" spans="1:2" x14ac:dyDescent="0.3">
      <c r="A2" s="2" t="s">
        <v>2</v>
      </c>
      <c r="B2" s="2">
        <v>0.03</v>
      </c>
    </row>
    <row r="3" spans="1:2" x14ac:dyDescent="0.3">
      <c r="A3" s="3" t="s">
        <v>3</v>
      </c>
      <c r="B3" s="2">
        <v>0.1</v>
      </c>
    </row>
    <row r="4" spans="1:2" x14ac:dyDescent="0.3">
      <c r="A4" s="4" t="s">
        <v>4</v>
      </c>
      <c r="B4" s="2">
        <v>2</v>
      </c>
    </row>
    <row r="5" spans="1:2" x14ac:dyDescent="0.3">
      <c r="A5" s="4" t="s">
        <v>0</v>
      </c>
      <c r="B5" s="2">
        <v>100</v>
      </c>
    </row>
    <row r="6" spans="1:2" x14ac:dyDescent="0.3">
      <c r="A6" s="4" t="s">
        <v>6</v>
      </c>
      <c r="B6" s="2">
        <v>105</v>
      </c>
    </row>
    <row r="7" spans="1:2" x14ac:dyDescent="0.3">
      <c r="A7" s="4" t="s">
        <v>7</v>
      </c>
      <c r="B7" s="2" t="s">
        <v>8</v>
      </c>
    </row>
    <row r="8" spans="1:2" x14ac:dyDescent="0.3">
      <c r="A8" s="6" t="s">
        <v>9</v>
      </c>
      <c r="B8" s="2">
        <f>bs(B5,0,B2,B3,B4,B6,B7)</f>
        <v>6.1807120189455933</v>
      </c>
    </row>
  </sheetData>
  <conditionalFormatting sqref="A1:A7">
    <cfRule type="duplicateValues" dxfId="1" priority="3"/>
  </conditionalFormatting>
  <conditionalFormatting sqref="B2:B6">
    <cfRule type="duplicateValues" dxfId="0" priority="5"/>
  </conditionalFormatting>
  <dataValidations count="1">
    <dataValidation type="list" allowBlank="1" showInputMessage="1" showErrorMessage="1" sqref="B7" xr:uid="{64778734-3372-4F77-95CB-F86BE10B80BA}">
      <formula1>"Call, Put"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Homework</vt:lpstr>
      <vt:lpstr>BAPM</vt:lpstr>
      <vt:lpstr>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2020-01-15T11:16:44Z</dcterms:modified>
</cp:coreProperties>
</file>